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Ejecutivo" sheetId="1" state="visible" r:id="rId3"/>
    <sheet name="Dx por Año" sheetId="2" state="visible" r:id="rId4"/>
    <sheet name="Cobertura Localidad" sheetId="3" state="visible" r:id="rId5"/>
    <sheet name="Dx Crecientes" sheetId="4" state="visible" r:id="rId6"/>
    <sheet name="Perfil Cobertu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<sst xmlns="http://schemas.openxmlformats.org/spreadsheetml/2006/main" count="215" uniqueCount="112">
  <si>
    <t xml:space="preserve">ANÁLISIS DE MORBILIDAD ATENDIDA — BOGOTÁ RIPS 2022–2024</t>
  </si>
  <si>
    <t xml:space="preserve">Secretaría Distrital de Salud  |  Grupo 9 — UNIMINUTO  |  Fuente: Datos Abiertos Bogotá</t>
  </si>
  <si>
    <t xml:space="preserve">INDICADORES GLOBALES 2022–2024</t>
  </si>
  <si>
    <t xml:space="preserve">Total Atenciones
2022–2024</t>
  </si>
  <si>
    <t xml:space="preserve">Variación
2022 vs 2024</t>
  </si>
  <si>
    <t xml:space="preserve">Localidades
Analizadas</t>
  </si>
  <si>
    <t xml:space="preserve">Tipo Dominante
de Atención</t>
  </si>
  <si>
    <t xml:space="preserve">Mayor Volumen
Localidad</t>
  </si>
  <si>
    <t xml:space="preserve">Mayor Tasa
(Atenc/Hab)</t>
  </si>
  <si>
    <t xml:space="preserve">Brecha Crítica</t>
  </si>
  <si>
    <t xml:space="preserve">88.6M</t>
  </si>
  <si>
    <t xml:space="preserve">+5.8%</t>
  </si>
  <si>
    <t xml:space="preserve">18</t>
  </si>
  <si>
    <t xml:space="preserve">Consultas
96.6%</t>
  </si>
  <si>
    <t xml:space="preserve">Suba  17.5M</t>
  </si>
  <si>
    <t xml:space="preserve">Chapinero ~20</t>
  </si>
  <si>
    <t xml:space="preserve">Sumapaz Alta</t>
  </si>
  <si>
    <t xml:space="preserve">EVOLUCIÓN ANUAL DE ATENCIONES (2022–2024)</t>
  </si>
  <si>
    <t xml:space="preserve">Año</t>
  </si>
  <si>
    <t xml:space="preserve">Total Atenciones</t>
  </si>
  <si>
    <t xml:space="preserve">Registros</t>
  </si>
  <si>
    <t xml:space="preserve">Diagnósticos Distintos</t>
  </si>
  <si>
    <t xml:space="preserve">Localidades</t>
  </si>
  <si>
    <t xml:space="preserve">Variación %</t>
  </si>
  <si>
    <t xml:space="preserve">Estado</t>
  </si>
  <si>
    <t xml:space="preserve">Base</t>
  </si>
  <si>
    <t xml:space="preserve">Año base</t>
  </si>
  <si>
    <t xml:space="preserve">Caida</t>
  </si>
  <si>
    <t xml:space="preserve">Recuperacion</t>
  </si>
  <si>
    <t xml:space="preserve">HALLAZGOS CLAVE</t>
  </si>
  <si>
    <t xml:space="preserve">Las atenciones cayeron 10.8% en 2023 y se recuperaron parcialmente en 2024 (+5.8%).</t>
  </si>
  <si>
    <t xml:space="preserve">El 96.6% de las atenciones son consultas ambulatorias; urgencias y hospitalizaciones &lt;4%.</t>
  </si>
  <si>
    <t xml:space="preserve">Chapinero y Teusaquillo superan 20 atenciones/habitante; Sumapaz y Usme apenas 0.1.</t>
  </si>
  <si>
    <t xml:space="preserve">Enfermedades Infecciosas Intestinales crecieron 87% entre 2022 y 2024 — alerta sanitaria.</t>
  </si>
  <si>
    <t xml:space="preserve">Las mujeres superan a los hombres en todas las franjas etarias entre 15 y 79 años.</t>
  </si>
  <si>
    <t xml:space="preserve">El régimen Contributivo concentra el 64.6% de atenciones — inequidad por afiliación evidente.</t>
  </si>
  <si>
    <t xml:space="preserve">TOP 10 DIAGNÓSTICOS POR AÑO (2022–2024)</t>
  </si>
  <si>
    <t xml:space="preserve">AÑO 2022</t>
  </si>
  <si>
    <t xml:space="preserve">#</t>
  </si>
  <si>
    <t xml:space="preserve">Diagnóstico</t>
  </si>
  <si>
    <t xml:space="preserve">% del Año</t>
  </si>
  <si>
    <t xml:space="preserve">Personas En Contacto Con Los Servicios De Salud Para Investigacion Y Examenes</t>
  </si>
  <si>
    <t xml:space="preserve">Enfermedades De La Cavidad Bucal De Las Glandulas Salivales Y De Los Maxilares</t>
  </si>
  <si>
    <t xml:space="preserve">Sintomas Y Signos Generales</t>
  </si>
  <si>
    <t xml:space="preserve">Enfermedades Hipertensivas</t>
  </si>
  <si>
    <t xml:space="preserve">Infecciones Agudas De Las Vias Respiratorias Superiores</t>
  </si>
  <si>
    <t xml:space="preserve">Trastornos De Los Musculos Oculares Del Movimiento Binocular De La Acomodacion Y De La Refraccion</t>
  </si>
  <si>
    <t xml:space="preserve">Otras Dorsopatias</t>
  </si>
  <si>
    <t xml:space="preserve">Diabetes Mellitus</t>
  </si>
  <si>
    <t xml:space="preserve">Personas En Contacto Con Los Servicios De Salud En Circunstancias Relacionadas Con La Reproduccion</t>
  </si>
  <si>
    <t xml:space="preserve">Sintomas Y Signos Que Involucran El Sistema Digestivo Y El Abdomen</t>
  </si>
  <si>
    <t xml:space="preserve">AÑO 2023</t>
  </si>
  <si>
    <t xml:space="preserve">Trastornos Episodicos Y Paroxisticos</t>
  </si>
  <si>
    <t xml:space="preserve">AÑO 2024</t>
  </si>
  <si>
    <t xml:space="preserve">TASA DE ATENCIÓN POR LOCALIDAD Y BRECHA vs PROMEDIO BOGOTÁ (2022–2024)  |  Promedio Bogotá: 5.27 atenc/hab/año</t>
  </si>
  <si>
    <t xml:space="preserve">Localidad</t>
  </si>
  <si>
    <t xml:space="preserve">Tasa Anual Prom.
(Atenc/Hab)</t>
  </si>
  <si>
    <t xml:space="preserve">Brecha
vs Bogotá (5.27)</t>
  </si>
  <si>
    <t xml:space="preserve">Prioridad Intervención</t>
  </si>
  <si>
    <t xml:space="preserve">Nivel Cobertura</t>
  </si>
  <si>
    <t xml:space="preserve">Chapinero</t>
  </si>
  <si>
    <t xml:space="preserve">🟢 Baja</t>
  </si>
  <si>
    <t xml:space="preserve">Alta</t>
  </si>
  <si>
    <t xml:space="preserve">Teusaquillo</t>
  </si>
  <si>
    <t xml:space="preserve">Barrios Unidos</t>
  </si>
  <si>
    <t xml:space="preserve">Antonio Nariño</t>
  </si>
  <si>
    <t xml:space="preserve">🟡 Media</t>
  </si>
  <si>
    <t xml:space="preserve">Media</t>
  </si>
  <si>
    <t xml:space="preserve">Puente Aranda</t>
  </si>
  <si>
    <t xml:space="preserve">Tunjuelito</t>
  </si>
  <si>
    <t xml:space="preserve">Suba</t>
  </si>
  <si>
    <t xml:space="preserve">Santa Fe (Centro)</t>
  </si>
  <si>
    <t xml:space="preserve">🔴 Alta</t>
  </si>
  <si>
    <t xml:space="preserve">Baja</t>
  </si>
  <si>
    <t xml:space="preserve">Usaquén</t>
  </si>
  <si>
    <t xml:space="preserve">Kennedy</t>
  </si>
  <si>
    <t xml:space="preserve">Fontibón</t>
  </si>
  <si>
    <t xml:space="preserve">Engativá</t>
  </si>
  <si>
    <t xml:space="preserve">San Cristóbal</t>
  </si>
  <si>
    <t xml:space="preserve">Rafael Uribe Uribe</t>
  </si>
  <si>
    <t xml:space="preserve">Bosa</t>
  </si>
  <si>
    <t xml:space="preserve">Ciudad Bolívar</t>
  </si>
  <si>
    <t xml:space="preserve">Usme</t>
  </si>
  <si>
    <t xml:space="preserve">Sumapaz</t>
  </si>
  <si>
    <t xml:space="preserve">DIAGNÓSTICOS CON MAYOR CRECIMIENTO 2022 vs 2024  (Volumen &gt; 500k)</t>
  </si>
  <si>
    <t xml:space="preserve">Atenc. 2022</t>
  </si>
  <si>
    <t xml:space="preserve">Atenc. 2023</t>
  </si>
  <si>
    <t xml:space="preserve">Atenc. 2024</t>
  </si>
  <si>
    <t xml:space="preserve">Total 22–24</t>
  </si>
  <si>
    <t xml:space="preserve">Var % 22–24</t>
  </si>
  <si>
    <t xml:space="preserve">Alerta</t>
  </si>
  <si>
    <t xml:space="preserve">Enfermedades Infecciosas Intestinales</t>
  </si>
  <si>
    <t xml:space="preserve">URGENTE</t>
  </si>
  <si>
    <t xml:space="preserve">Otras Enfermedades De Los Intestinos</t>
  </si>
  <si>
    <t xml:space="preserve">Enfermedad Por Virus De La Inmunodeficiencia Humana [Vih]</t>
  </si>
  <si>
    <t xml:space="preserve">ALTO</t>
  </si>
  <si>
    <t xml:space="preserve">Trastornos Neuroticos, Trastornos Relacionados Con El Estres Y Trastornos Somatomorfos</t>
  </si>
  <si>
    <t xml:space="preserve">Trastornos No Inflamatorios De Los Organos Genitales Femeninos</t>
  </si>
  <si>
    <t xml:space="preserve">MEDIO</t>
  </si>
  <si>
    <t xml:space="preserve">Trastornos Del Humor [Afectivos]</t>
  </si>
  <si>
    <t xml:space="preserve">Otros Trastornos De Los Tejidos Blandos</t>
  </si>
  <si>
    <t xml:space="preserve">Enfermedades De Las Venas Y De Los Vasos Y Ganglios Linfaticos No Clasificadas En Otra Parte</t>
  </si>
  <si>
    <t xml:space="preserve">Enfermedades Del Esofago Del Estomago Y Del Duodeno</t>
  </si>
  <si>
    <t xml:space="preserve">Trastornos De La Glandula Tiroides</t>
  </si>
  <si>
    <t xml:space="preserve">Otras Enfermedades Del Sistema Urinario</t>
  </si>
  <si>
    <t xml:space="preserve">Trastornos Metabolicos</t>
  </si>
  <si>
    <t xml:space="preserve">ESTABLE</t>
  </si>
  <si>
    <t xml:space="preserve">PERFIL DE MORBILIDAD: TOP 5 DIAGNÓSTICOS POR GRUPO DE COBERTURA</t>
  </si>
  <si>
    <t xml:space="preserve">ALTA COBERTURA</t>
  </si>
  <si>
    <t xml:space="preserve">% del Grupo</t>
  </si>
  <si>
    <t xml:space="preserve">BAJA COBERTURA</t>
  </si>
  <si>
    <t xml:space="preserve">MEDIA COBERTURA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</si>
</sst>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D73027"/>
      <name val="Arial"/>
      <family val="0"/>
      <charset val="1"/>
    </font>
    <font>
      <b val="true"/>
      <sz val="10"/>
      <color rgb="FF1A985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C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1A9850"/>
        <bgColor rgb="FF008080"/>
      </patternFill>
    </fill>
    <fill>
      <patternFill patternType="solid">
        <fgColor rgb="FFD73027"/>
        <bgColor rgb="FF993366"/>
      </patternFill>
    </fill>
    <fill>
      <patternFill patternType="solid">
        <fgColor rgb="FFD6E4F0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AAAAAA"/>
      <rgbColor rgb="FF003366"/>
      <rgbColor rgb="FF1A9850"/>
      <rgbColor rgb="FF003300"/>
      <rgbColor rgb="FF333300"/>
      <rgbColor rgb="FFD73027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16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</row>
    <row r="5" customFormat="false" ht="31.5" hidden="false" customHeight="true" outlineLevel="0" collapsed="false">
      <c r="A5" s="5" t="s">
        <v>3</v>
      </c>
      <c r="B5" s="6" t="s">
        <v>4</v>
      </c>
      <c r="C5" s="7" t="s">
        <v>5</v>
      </c>
      <c r="D5" s="6" t="s">
        <v>6</v>
      </c>
      <c r="E5" s="5" t="s">
        <v>7</v>
      </c>
      <c r="F5" s="6" t="s">
        <v>8</v>
      </c>
      <c r="G5" s="8" t="s">
        <v>9</v>
      </c>
    </row>
    <row r="6" customFormat="false" ht="31.5" hidden="false" customHeight="true" outlineLevel="0" collapsed="false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</row>
    <row r="8" customFormat="false" ht="19.5" hidden="false" customHeight="true" outlineLevel="0" collapsed="false">
      <c r="A8" s="4" t="s">
        <v>17</v>
      </c>
      <c r="B8" s="4"/>
      <c r="C8" s="4"/>
      <c r="D8" s="4"/>
      <c r="E8" s="4"/>
      <c r="F8" s="4"/>
      <c r="G8" s="4"/>
    </row>
    <row r="9" customFormat="false" ht="18" hidden="false" customHeight="true" outlineLevel="0" collapsed="false">
      <c r="A9" s="10" t="s">
        <v>18</v>
      </c>
      <c r="B9" s="10" t="s">
        <v>19</v>
      </c>
      <c r="C9" s="10" t="s">
        <v>20</v>
      </c>
      <c r="D9" s="10" t="s">
        <v>21</v>
      </c>
      <c r="E9" s="10" t="s">
        <v>22</v>
      </c>
      <c r="F9" s="10" t="s">
        <v>23</v>
      </c>
      <c r="G9" s="10" t="s">
        <v>24</v>
      </c>
    </row>
    <row r="10" customFormat="false" ht="15.75" hidden="false" customHeight="true" outlineLevel="0" collapsed="false">
      <c r="A10" s="11" t="n">
        <v>2022</v>
      </c>
      <c r="B10" s="12" t="n">
        <v>31253775</v>
      </c>
      <c r="C10" s="12" t="n">
        <v>1681741</v>
      </c>
      <c r="D10" s="12" t="n">
        <v>257</v>
      </c>
      <c r="E10" s="11" t="n">
        <v>18</v>
      </c>
      <c r="F10" s="13" t="s">
        <v>25</v>
      </c>
      <c r="G10" s="11" t="s">
        <v>26</v>
      </c>
    </row>
    <row r="11" customFormat="false" ht="15.75" hidden="false" customHeight="true" outlineLevel="0" collapsed="false">
      <c r="A11" s="14" t="n">
        <v>2023</v>
      </c>
      <c r="B11" s="15" t="n">
        <v>27886493</v>
      </c>
      <c r="C11" s="15" t="n">
        <v>1655144</v>
      </c>
      <c r="D11" s="15" t="n">
        <v>258</v>
      </c>
      <c r="E11" s="14" t="n">
        <v>18</v>
      </c>
      <c r="F11" s="16" t="n">
        <v>-0.107740009006912</v>
      </c>
      <c r="G11" s="14" t="s">
        <v>27</v>
      </c>
    </row>
    <row r="12" customFormat="false" ht="15.75" hidden="false" customHeight="true" outlineLevel="0" collapsed="false">
      <c r="A12" s="11" t="n">
        <v>2024</v>
      </c>
      <c r="B12" s="12" t="n">
        <v>29506466</v>
      </c>
      <c r="C12" s="12" t="n">
        <v>1765060</v>
      </c>
      <c r="D12" s="12" t="n">
        <v>257</v>
      </c>
      <c r="E12" s="11" t="n">
        <v>18</v>
      </c>
      <c r="F12" s="17" t="n">
        <v>0.0580916718355371</v>
      </c>
      <c r="G12" s="11" t="s">
        <v>28</v>
      </c>
    </row>
    <row r="14" customFormat="false" ht="19.5" hidden="false" customHeight="true" outlineLevel="0" collapsed="false">
      <c r="A14" s="4" t="s">
        <v>29</v>
      </c>
      <c r="B14" s="4"/>
      <c r="C14" s="4"/>
      <c r="D14" s="4"/>
      <c r="E14" s="4"/>
      <c r="F14" s="4"/>
      <c r="G14" s="4"/>
    </row>
    <row r="15" customFormat="false" ht="15" hidden="false" customHeight="true" outlineLevel="0" collapsed="false">
      <c r="A15" s="18" t="s">
        <v>30</v>
      </c>
      <c r="B15" s="18"/>
      <c r="C15" s="18"/>
      <c r="D15" s="18"/>
      <c r="E15" s="18"/>
      <c r="F15" s="18"/>
      <c r="G15" s="18"/>
    </row>
    <row r="16" customFormat="false" ht="15" hidden="false" customHeight="true" outlineLevel="0" collapsed="false">
      <c r="A16" s="19" t="s">
        <v>31</v>
      </c>
      <c r="B16" s="19"/>
      <c r="C16" s="19"/>
      <c r="D16" s="19"/>
      <c r="E16" s="19"/>
      <c r="F16" s="19"/>
      <c r="G16" s="19"/>
    </row>
    <row r="17" customFormat="false" ht="15" hidden="false" customHeight="true" outlineLevel="0" collapsed="false">
      <c r="A17" s="18" t="s">
        <v>32</v>
      </c>
      <c r="B17" s="18"/>
      <c r="C17" s="18"/>
      <c r="D17" s="18"/>
      <c r="E17" s="18"/>
      <c r="F17" s="18"/>
      <c r="G17" s="18"/>
    </row>
    <row r="18" customFormat="false" ht="15" hidden="false" customHeight="true" outlineLevel="0" collapsed="false">
      <c r="A18" s="19" t="s">
        <v>33</v>
      </c>
      <c r="B18" s="19"/>
      <c r="C18" s="19"/>
      <c r="D18" s="19"/>
      <c r="E18" s="19"/>
      <c r="F18" s="19"/>
      <c r="G18" s="19"/>
    </row>
    <row r="19" customFormat="false" ht="15" hidden="false" customHeight="true" outlineLevel="0" collapsed="false">
      <c r="A19" s="18" t="s">
        <v>34</v>
      </c>
      <c r="B19" s="18"/>
      <c r="C19" s="18"/>
      <c r="D19" s="18"/>
      <c r="E19" s="18"/>
      <c r="F19" s="18"/>
      <c r="G19" s="18"/>
    </row>
    <row r="20" customFormat="false" ht="15" hidden="false" customHeight="true" outlineLevel="0" collapsed="false">
      <c r="A20" s="19" t="s">
        <v>35</v>
      </c>
      <c r="B20" s="19"/>
      <c r="C20" s="19"/>
      <c r="D20" s="19"/>
      <c r="E20" s="19"/>
      <c r="F20" s="19"/>
      <c r="G20" s="19"/>
    </row>
  </sheetData>
  <mergeCells count="11">
    <mergeCell ref="A1:G1"/>
    <mergeCell ref="A2:G2"/>
    <mergeCell ref="A4:G4"/>
    <mergeCell ref="A8:G8"/>
    <mergeCell ref="A14:G14"/>
    <mergeCell ref="A15:G15"/>
    <mergeCell ref="A16:G16"/>
    <mergeCell ref="A17:G17"/>
    <mergeCell ref="A18:G18"/>
    <mergeCell ref="A19:G19"/>
    <mergeCell ref="A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0"/>
  </cols>
  <sheetData>
    <row r="1" customFormat="false" ht="25.5" hidden="false" customHeight="true" outlineLevel="0" collapsed="false">
      <c r="A1" s="20" t="s">
        <v>36</v>
      </c>
      <c r="B1" s="20"/>
      <c r="C1" s="20"/>
      <c r="D1" s="20"/>
      <c r="E1" s="20"/>
    </row>
    <row r="3" customFormat="false" ht="19.5" hidden="false" customHeight="true" outlineLevel="0" collapsed="false">
      <c r="A3" s="4" t="s">
        <v>37</v>
      </c>
      <c r="B3" s="4"/>
      <c r="C3" s="4"/>
      <c r="D3" s="4"/>
      <c r="E3" s="4"/>
    </row>
    <row r="4" customFormat="false" ht="15.75" hidden="false" customHeight="true" outlineLevel="0" collapsed="false">
      <c r="A4" s="10" t="s">
        <v>38</v>
      </c>
      <c r="B4" s="10" t="s">
        <v>39</v>
      </c>
      <c r="C4" s="10" t="s">
        <v>19</v>
      </c>
      <c r="D4" s="10" t="s">
        <v>20</v>
      </c>
      <c r="E4" s="10" t="s">
        <v>40</v>
      </c>
    </row>
    <row r="5" customFormat="false" ht="13.5" hidden="false" customHeight="true" outlineLevel="0" collapsed="false">
      <c r="A5" s="11" t="n">
        <v>1</v>
      </c>
      <c r="B5" s="21" t="s">
        <v>41</v>
      </c>
      <c r="C5" s="12" t="n">
        <v>4467844</v>
      </c>
      <c r="D5" s="12" t="n">
        <v>20521</v>
      </c>
      <c r="E5" s="22" t="n">
        <v>0.142953739188306</v>
      </c>
    </row>
    <row r="6" customFormat="false" ht="13.5" hidden="false" customHeight="true" outlineLevel="0" collapsed="false">
      <c r="A6" s="14" t="n">
        <v>2</v>
      </c>
      <c r="B6" s="23" t="s">
        <v>42</v>
      </c>
      <c r="C6" s="15" t="n">
        <v>3026585</v>
      </c>
      <c r="D6" s="15" t="n">
        <v>43653</v>
      </c>
      <c r="E6" s="24" t="n">
        <v>0.096839021846161</v>
      </c>
    </row>
    <row r="7" customFormat="false" ht="13.5" hidden="false" customHeight="true" outlineLevel="0" collapsed="false">
      <c r="A7" s="11" t="n">
        <v>3</v>
      </c>
      <c r="B7" s="21" t="s">
        <v>43</v>
      </c>
      <c r="C7" s="12" t="n">
        <v>2233278</v>
      </c>
      <c r="D7" s="12" t="n">
        <v>53727</v>
      </c>
      <c r="E7" s="22" t="n">
        <v>0.0714562640832987</v>
      </c>
    </row>
    <row r="8" customFormat="false" ht="13.5" hidden="false" customHeight="true" outlineLevel="0" collapsed="false">
      <c r="A8" s="14" t="n">
        <v>4</v>
      </c>
      <c r="B8" s="23" t="s">
        <v>44</v>
      </c>
      <c r="C8" s="15" t="n">
        <v>1831220</v>
      </c>
      <c r="D8" s="15" t="n">
        <v>11156</v>
      </c>
      <c r="E8" s="24" t="n">
        <v>0.0585919620909794</v>
      </c>
    </row>
    <row r="9" customFormat="false" ht="13.5" hidden="false" customHeight="true" outlineLevel="0" collapsed="false">
      <c r="A9" s="11" t="n">
        <v>5</v>
      </c>
      <c r="B9" s="21" t="s">
        <v>45</v>
      </c>
      <c r="C9" s="12" t="n">
        <v>807489</v>
      </c>
      <c r="D9" s="12" t="n">
        <v>31753</v>
      </c>
      <c r="E9" s="22" t="n">
        <v>0.0258365269475447</v>
      </c>
    </row>
    <row r="10" customFormat="false" ht="13.5" hidden="false" customHeight="true" outlineLevel="0" collapsed="false">
      <c r="A10" s="14" t="n">
        <v>6</v>
      </c>
      <c r="B10" s="23" t="s">
        <v>46</v>
      </c>
      <c r="C10" s="15" t="n">
        <v>799212</v>
      </c>
      <c r="D10" s="15" t="n">
        <v>6613</v>
      </c>
      <c r="E10" s="24" t="n">
        <v>0.0255716949392513</v>
      </c>
    </row>
    <row r="11" customFormat="false" ht="13.5" hidden="false" customHeight="true" outlineLevel="0" collapsed="false">
      <c r="A11" s="11" t="n">
        <v>7</v>
      </c>
      <c r="B11" s="21" t="s">
        <v>47</v>
      </c>
      <c r="C11" s="12" t="n">
        <v>676615</v>
      </c>
      <c r="D11" s="12" t="n">
        <v>17833</v>
      </c>
      <c r="E11" s="22" t="n">
        <v>0.021649064792973</v>
      </c>
    </row>
    <row r="12" customFormat="false" ht="13.5" hidden="false" customHeight="true" outlineLevel="0" collapsed="false">
      <c r="A12" s="14" t="n">
        <v>8</v>
      </c>
      <c r="B12" s="23" t="s">
        <v>48</v>
      </c>
      <c r="C12" s="15" t="n">
        <v>633739</v>
      </c>
      <c r="D12" s="15" t="n">
        <v>15498</v>
      </c>
      <c r="E12" s="24" t="n">
        <v>0.0202771985144195</v>
      </c>
    </row>
    <row r="13" customFormat="false" ht="13.5" hidden="false" customHeight="true" outlineLevel="0" collapsed="false">
      <c r="A13" s="11" t="n">
        <v>9</v>
      </c>
      <c r="B13" s="21" t="s">
        <v>49</v>
      </c>
      <c r="C13" s="12" t="n">
        <v>575886</v>
      </c>
      <c r="D13" s="12" t="n">
        <v>6407</v>
      </c>
      <c r="E13" s="22" t="n">
        <v>0.0184261261239642</v>
      </c>
    </row>
    <row r="14" customFormat="false" ht="13.5" hidden="false" customHeight="true" outlineLevel="0" collapsed="false">
      <c r="A14" s="14" t="n">
        <v>10</v>
      </c>
      <c r="B14" s="23" t="s">
        <v>50</v>
      </c>
      <c r="C14" s="15" t="n">
        <v>550474</v>
      </c>
      <c r="D14" s="15" t="n">
        <v>27202</v>
      </c>
      <c r="E14" s="24" t="n">
        <v>0.0176130403447264</v>
      </c>
    </row>
    <row r="16" customFormat="false" ht="19.5" hidden="false" customHeight="true" outlineLevel="0" collapsed="false">
      <c r="A16" s="4" t="s">
        <v>51</v>
      </c>
      <c r="B16" s="4"/>
      <c r="C16" s="4"/>
      <c r="D16" s="4"/>
      <c r="E16" s="4"/>
    </row>
    <row r="17" customFormat="false" ht="15.75" hidden="false" customHeight="true" outlineLevel="0" collapsed="false">
      <c r="A17" s="10" t="s">
        <v>38</v>
      </c>
      <c r="B17" s="10" t="s">
        <v>39</v>
      </c>
      <c r="C17" s="10" t="s">
        <v>19</v>
      </c>
      <c r="D17" s="10" t="s">
        <v>20</v>
      </c>
      <c r="E17" s="10" t="s">
        <v>40</v>
      </c>
    </row>
    <row r="18" customFormat="false" ht="13.5" hidden="false" customHeight="true" outlineLevel="0" collapsed="false">
      <c r="A18" s="11" t="n">
        <v>1</v>
      </c>
      <c r="B18" s="21" t="s">
        <v>41</v>
      </c>
      <c r="C18" s="12" t="n">
        <v>3630379</v>
      </c>
      <c r="D18" s="12" t="n">
        <v>18722</v>
      </c>
      <c r="E18" s="22" t="n">
        <v>0.130184136097716</v>
      </c>
    </row>
    <row r="19" customFormat="false" ht="13.5" hidden="false" customHeight="true" outlineLevel="0" collapsed="false">
      <c r="A19" s="14" t="n">
        <v>2</v>
      </c>
      <c r="B19" s="23" t="s">
        <v>42</v>
      </c>
      <c r="C19" s="15" t="n">
        <v>2543075</v>
      </c>
      <c r="D19" s="15" t="n">
        <v>41010</v>
      </c>
      <c r="E19" s="24" t="n">
        <v>0.0911937904848774</v>
      </c>
    </row>
    <row r="20" customFormat="false" ht="13.5" hidden="false" customHeight="true" outlineLevel="0" collapsed="false">
      <c r="A20" s="11" t="n">
        <v>3</v>
      </c>
      <c r="B20" s="21" t="s">
        <v>43</v>
      </c>
      <c r="C20" s="12" t="n">
        <v>1634783</v>
      </c>
      <c r="D20" s="12" t="n">
        <v>52329</v>
      </c>
      <c r="E20" s="22" t="n">
        <v>0.0586227533164532</v>
      </c>
    </row>
    <row r="21" customFormat="false" ht="13.5" hidden="false" customHeight="true" outlineLevel="0" collapsed="false">
      <c r="A21" s="14" t="n">
        <v>4</v>
      </c>
      <c r="B21" s="23" t="s">
        <v>44</v>
      </c>
      <c r="C21" s="15" t="n">
        <v>1564216</v>
      </c>
      <c r="D21" s="15" t="n">
        <v>10204</v>
      </c>
      <c r="E21" s="24" t="n">
        <v>0.0560922450879714</v>
      </c>
    </row>
    <row r="22" customFormat="false" ht="13.5" hidden="false" customHeight="true" outlineLevel="0" collapsed="false">
      <c r="A22" s="11" t="n">
        <v>5</v>
      </c>
      <c r="B22" s="21" t="s">
        <v>45</v>
      </c>
      <c r="C22" s="12" t="n">
        <v>798907</v>
      </c>
      <c r="D22" s="12" t="n">
        <v>30090</v>
      </c>
      <c r="E22" s="22" t="n">
        <v>0.0286485288774031</v>
      </c>
    </row>
    <row r="23" customFormat="false" ht="13.5" hidden="false" customHeight="true" outlineLevel="0" collapsed="false">
      <c r="A23" s="14" t="n">
        <v>6</v>
      </c>
      <c r="B23" s="23" t="s">
        <v>46</v>
      </c>
      <c r="C23" s="15" t="n">
        <v>694006</v>
      </c>
      <c r="D23" s="15" t="n">
        <v>6230</v>
      </c>
      <c r="E23" s="24" t="n">
        <v>0.0248868152764853</v>
      </c>
    </row>
    <row r="24" customFormat="false" ht="13.5" hidden="false" customHeight="true" outlineLevel="0" collapsed="false">
      <c r="A24" s="11" t="n">
        <v>7</v>
      </c>
      <c r="B24" s="21" t="s">
        <v>47</v>
      </c>
      <c r="C24" s="12" t="n">
        <v>634310</v>
      </c>
      <c r="D24" s="12" t="n">
        <v>17710</v>
      </c>
      <c r="E24" s="22" t="n">
        <v>0.022746137350437</v>
      </c>
    </row>
    <row r="25" customFormat="false" ht="13.5" hidden="false" customHeight="true" outlineLevel="0" collapsed="false">
      <c r="A25" s="14" t="n">
        <v>8</v>
      </c>
      <c r="B25" s="23" t="s">
        <v>50</v>
      </c>
      <c r="C25" s="15" t="n">
        <v>540054</v>
      </c>
      <c r="D25" s="15" t="n">
        <v>26601</v>
      </c>
      <c r="E25" s="24" t="n">
        <v>0.0193661497700697</v>
      </c>
    </row>
    <row r="26" customFormat="false" ht="13.5" hidden="false" customHeight="true" outlineLevel="0" collapsed="false">
      <c r="A26" s="11" t="n">
        <v>9</v>
      </c>
      <c r="B26" s="21" t="s">
        <v>52</v>
      </c>
      <c r="C26" s="12" t="n">
        <v>534236</v>
      </c>
      <c r="D26" s="12" t="n">
        <v>24944</v>
      </c>
      <c r="E26" s="22" t="n">
        <v>0.0191575183010642</v>
      </c>
    </row>
    <row r="27" customFormat="false" ht="13.5" hidden="false" customHeight="true" outlineLevel="0" collapsed="false">
      <c r="A27" s="14" t="n">
        <v>10</v>
      </c>
      <c r="B27" s="23" t="s">
        <v>49</v>
      </c>
      <c r="C27" s="15" t="n">
        <v>501632</v>
      </c>
      <c r="D27" s="15" t="n">
        <v>6040</v>
      </c>
      <c r="E27" s="24" t="n">
        <v>0.0179883501306529</v>
      </c>
    </row>
    <row r="29" customFormat="false" ht="19.5" hidden="false" customHeight="true" outlineLevel="0" collapsed="false">
      <c r="A29" s="4" t="s">
        <v>53</v>
      </c>
      <c r="B29" s="4"/>
      <c r="C29" s="4"/>
      <c r="D29" s="4"/>
      <c r="E29" s="4"/>
    </row>
    <row r="30" customFormat="false" ht="15.75" hidden="false" customHeight="true" outlineLevel="0" collapsed="false">
      <c r="A30" s="10" t="s">
        <v>38</v>
      </c>
      <c r="B30" s="10" t="s">
        <v>39</v>
      </c>
      <c r="C30" s="10" t="s">
        <v>19</v>
      </c>
      <c r="D30" s="10" t="s">
        <v>20</v>
      </c>
      <c r="E30" s="10" t="s">
        <v>40</v>
      </c>
    </row>
    <row r="31" customFormat="false" ht="13.5" hidden="false" customHeight="true" outlineLevel="0" collapsed="false">
      <c r="A31" s="11" t="n">
        <v>1</v>
      </c>
      <c r="B31" s="21" t="s">
        <v>41</v>
      </c>
      <c r="C31" s="12" t="n">
        <v>3911006</v>
      </c>
      <c r="D31" s="12" t="n">
        <v>22675</v>
      </c>
      <c r="E31" s="22" t="n">
        <v>0.132547421978627</v>
      </c>
    </row>
    <row r="32" customFormat="false" ht="13.5" hidden="false" customHeight="true" outlineLevel="0" collapsed="false">
      <c r="A32" s="14" t="n">
        <v>2</v>
      </c>
      <c r="B32" s="23" t="s">
        <v>42</v>
      </c>
      <c r="C32" s="15" t="n">
        <v>2642611</v>
      </c>
      <c r="D32" s="15" t="n">
        <v>44843</v>
      </c>
      <c r="E32" s="24" t="n">
        <v>0.0895604034722423</v>
      </c>
    </row>
    <row r="33" customFormat="false" ht="13.5" hidden="false" customHeight="true" outlineLevel="0" collapsed="false">
      <c r="A33" s="11" t="n">
        <v>3</v>
      </c>
      <c r="B33" s="21" t="s">
        <v>44</v>
      </c>
      <c r="C33" s="12" t="n">
        <v>1656167</v>
      </c>
      <c r="D33" s="12" t="n">
        <v>10437</v>
      </c>
      <c r="E33" s="22" t="n">
        <v>0.0561289515321828</v>
      </c>
    </row>
    <row r="34" customFormat="false" ht="13.5" hidden="false" customHeight="true" outlineLevel="0" collapsed="false">
      <c r="A34" s="14" t="n">
        <v>4</v>
      </c>
      <c r="B34" s="23" t="s">
        <v>43</v>
      </c>
      <c r="C34" s="15" t="n">
        <v>1510052</v>
      </c>
      <c r="D34" s="15" t="n">
        <v>53510</v>
      </c>
      <c r="E34" s="24" t="n">
        <v>0.0511769860884052</v>
      </c>
    </row>
    <row r="35" customFormat="false" ht="13.5" hidden="false" customHeight="true" outlineLevel="0" collapsed="false">
      <c r="A35" s="11" t="n">
        <v>5</v>
      </c>
      <c r="B35" s="21" t="s">
        <v>45</v>
      </c>
      <c r="C35" s="12" t="n">
        <v>801251</v>
      </c>
      <c r="D35" s="12" t="n">
        <v>30854</v>
      </c>
      <c r="E35" s="22" t="n">
        <v>0.0271550988180015</v>
      </c>
    </row>
    <row r="36" customFormat="false" ht="13.5" hidden="false" customHeight="true" outlineLevel="0" collapsed="false">
      <c r="A36" s="14" t="n">
        <v>6</v>
      </c>
      <c r="B36" s="23" t="s">
        <v>47</v>
      </c>
      <c r="C36" s="15" t="n">
        <v>685441</v>
      </c>
      <c r="D36" s="15" t="n">
        <v>18519</v>
      </c>
      <c r="E36" s="24" t="n">
        <v>0.0232301963915299</v>
      </c>
    </row>
    <row r="37" customFormat="false" ht="13.5" hidden="false" customHeight="true" outlineLevel="0" collapsed="false">
      <c r="A37" s="11" t="n">
        <v>7</v>
      </c>
      <c r="B37" s="21" t="s">
        <v>46</v>
      </c>
      <c r="C37" s="12" t="n">
        <v>648413</v>
      </c>
      <c r="D37" s="12" t="n">
        <v>6843</v>
      </c>
      <c r="E37" s="22" t="n">
        <v>0.0219752850104109</v>
      </c>
    </row>
    <row r="38" customFormat="false" ht="13.5" hidden="false" customHeight="true" outlineLevel="0" collapsed="false">
      <c r="A38" s="14" t="n">
        <v>8</v>
      </c>
      <c r="B38" s="23" t="s">
        <v>52</v>
      </c>
      <c r="C38" s="15" t="n">
        <v>645135</v>
      </c>
      <c r="D38" s="15" t="n">
        <v>27664</v>
      </c>
      <c r="E38" s="24" t="n">
        <v>0.021864190716706</v>
      </c>
    </row>
    <row r="39" customFormat="false" ht="13.5" hidden="false" customHeight="true" outlineLevel="0" collapsed="false">
      <c r="A39" s="11" t="n">
        <v>9</v>
      </c>
      <c r="B39" s="21" t="s">
        <v>49</v>
      </c>
      <c r="C39" s="12" t="n">
        <v>577018</v>
      </c>
      <c r="D39" s="12" t="n">
        <v>6741</v>
      </c>
      <c r="E39" s="22" t="n">
        <v>0.0195556458709762</v>
      </c>
    </row>
    <row r="40" customFormat="false" ht="13.5" hidden="false" customHeight="true" outlineLevel="0" collapsed="false">
      <c r="A40" s="14" t="n">
        <v>10</v>
      </c>
      <c r="B40" s="23" t="s">
        <v>50</v>
      </c>
      <c r="C40" s="15" t="n">
        <v>539234</v>
      </c>
      <c r="D40" s="15" t="n">
        <v>26859</v>
      </c>
      <c r="E40" s="24" t="n">
        <v>0.0182751129870992</v>
      </c>
    </row>
  </sheetData>
  <mergeCells count="4">
    <mergeCell ref="A1:E1"/>
    <mergeCell ref="A3:E3"/>
    <mergeCell ref="A16:E16"/>
    <mergeCell ref="A29:E29"/>
  </mergeCells>
  <conditionalFormatting sqref="C6:C45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22"/>
    <col collapsed="false" customWidth="true" hidden="false" outlineLevel="0" max="6" min="6" style="1" width="16"/>
  </cols>
  <sheetData>
    <row r="1" customFormat="false" ht="25.5" hidden="false" customHeight="true" outlineLevel="0" collapsed="false">
      <c r="A1" s="20" t="s">
        <v>54</v>
      </c>
      <c r="B1" s="20"/>
      <c r="C1" s="20"/>
      <c r="D1" s="20"/>
      <c r="E1" s="20"/>
      <c r="F1" s="20"/>
    </row>
    <row r="3" customFormat="false" ht="27.75" hidden="false" customHeight="true" outlineLevel="0" collapsed="false">
      <c r="A3" s="10" t="s">
        <v>55</v>
      </c>
      <c r="B3" s="10" t="s">
        <v>19</v>
      </c>
      <c r="C3" s="10" t="s">
        <v>56</v>
      </c>
      <c r="D3" s="10" t="s">
        <v>57</v>
      </c>
      <c r="E3" s="10" t="s">
        <v>58</v>
      </c>
      <c r="F3" s="10" t="s">
        <v>59</v>
      </c>
    </row>
    <row r="4" customFormat="false" ht="15" hidden="false" customHeight="true" outlineLevel="0" collapsed="false">
      <c r="A4" s="21" t="s">
        <v>60</v>
      </c>
      <c r="B4" s="12" t="n">
        <v>9565619</v>
      </c>
      <c r="C4" s="25" t="n">
        <v>19.8</v>
      </c>
      <c r="D4" s="26" t="n">
        <v>14.53</v>
      </c>
      <c r="E4" s="27" t="s">
        <v>61</v>
      </c>
      <c r="F4" s="27" t="s">
        <v>62</v>
      </c>
    </row>
    <row r="5" customFormat="false" ht="15" hidden="false" customHeight="true" outlineLevel="0" collapsed="false">
      <c r="A5" s="23" t="s">
        <v>63</v>
      </c>
      <c r="B5" s="15" t="n">
        <v>11928104</v>
      </c>
      <c r="C5" s="28" t="n">
        <v>19.67</v>
      </c>
      <c r="D5" s="29" t="n">
        <v>14.4</v>
      </c>
      <c r="E5" s="27" t="s">
        <v>61</v>
      </c>
      <c r="F5" s="27" t="s">
        <v>62</v>
      </c>
    </row>
    <row r="6" customFormat="false" ht="15" hidden="false" customHeight="true" outlineLevel="0" collapsed="false">
      <c r="A6" s="21" t="s">
        <v>64</v>
      </c>
      <c r="B6" s="12" t="n">
        <v>11529731</v>
      </c>
      <c r="C6" s="25" t="n">
        <v>10.69</v>
      </c>
      <c r="D6" s="26" t="n">
        <v>5.42</v>
      </c>
      <c r="E6" s="27" t="s">
        <v>61</v>
      </c>
      <c r="F6" s="27" t="s">
        <v>62</v>
      </c>
    </row>
    <row r="7" customFormat="false" ht="15" hidden="false" customHeight="true" outlineLevel="0" collapsed="false">
      <c r="A7" s="23" t="s">
        <v>65</v>
      </c>
      <c r="B7" s="15" t="n">
        <v>5249363</v>
      </c>
      <c r="C7" s="28" t="n">
        <v>7.72</v>
      </c>
      <c r="D7" s="29" t="n">
        <v>2.45</v>
      </c>
      <c r="E7" s="30" t="s">
        <v>66</v>
      </c>
      <c r="F7" s="30" t="s">
        <v>67</v>
      </c>
    </row>
    <row r="8" customFormat="false" ht="15" hidden="false" customHeight="true" outlineLevel="0" collapsed="false">
      <c r="A8" s="21" t="s">
        <v>68</v>
      </c>
      <c r="B8" s="12" t="n">
        <v>6588771</v>
      </c>
      <c r="C8" s="25" t="n">
        <v>6.73</v>
      </c>
      <c r="D8" s="26" t="n">
        <v>1.46</v>
      </c>
      <c r="E8" s="30" t="s">
        <v>66</v>
      </c>
      <c r="F8" s="30" t="s">
        <v>67</v>
      </c>
    </row>
    <row r="9" customFormat="false" ht="15" hidden="false" customHeight="true" outlineLevel="0" collapsed="false">
      <c r="A9" s="23" t="s">
        <v>69</v>
      </c>
      <c r="B9" s="15" t="n">
        <v>4195277</v>
      </c>
      <c r="C9" s="28" t="n">
        <v>6.62</v>
      </c>
      <c r="D9" s="29" t="n">
        <v>1.35</v>
      </c>
      <c r="E9" s="30" t="s">
        <v>66</v>
      </c>
      <c r="F9" s="30" t="s">
        <v>67</v>
      </c>
    </row>
    <row r="10" customFormat="false" ht="15" hidden="false" customHeight="true" outlineLevel="0" collapsed="false">
      <c r="A10" s="21" t="s">
        <v>70</v>
      </c>
      <c r="B10" s="12" t="n">
        <v>17503949</v>
      </c>
      <c r="C10" s="25" t="n">
        <v>5.19</v>
      </c>
      <c r="D10" s="31" t="n">
        <v>-0.08</v>
      </c>
      <c r="E10" s="30" t="s">
        <v>66</v>
      </c>
      <c r="F10" s="30" t="s">
        <v>67</v>
      </c>
    </row>
    <row r="11" customFormat="false" ht="15" hidden="false" customHeight="true" outlineLevel="0" collapsed="false">
      <c r="A11" s="23" t="s">
        <v>71</v>
      </c>
      <c r="B11" s="15" t="n">
        <v>3306768</v>
      </c>
      <c r="C11" s="28" t="n">
        <v>4.52</v>
      </c>
      <c r="D11" s="32" t="n">
        <v>-0.75</v>
      </c>
      <c r="E11" s="33" t="s">
        <v>72</v>
      </c>
      <c r="F11" s="33" t="s">
        <v>73</v>
      </c>
    </row>
    <row r="12" customFormat="false" ht="15" hidden="false" customHeight="true" outlineLevel="0" collapsed="false">
      <c r="A12" s="21" t="s">
        <v>74</v>
      </c>
      <c r="B12" s="12" t="n">
        <v>11757366</v>
      </c>
      <c r="C12" s="25" t="n">
        <v>3.59</v>
      </c>
      <c r="D12" s="31" t="n">
        <v>-1.68</v>
      </c>
      <c r="E12" s="33" t="s">
        <v>72</v>
      </c>
      <c r="F12" s="33" t="s">
        <v>73</v>
      </c>
    </row>
    <row r="13" customFormat="false" ht="15" hidden="false" customHeight="true" outlineLevel="0" collapsed="false">
      <c r="A13" s="23" t="s">
        <v>75</v>
      </c>
      <c r="B13" s="15" t="n">
        <v>9232934</v>
      </c>
      <c r="C13" s="28" t="n">
        <v>3.33</v>
      </c>
      <c r="D13" s="32" t="n">
        <v>-1.94</v>
      </c>
      <c r="E13" s="33" t="s">
        <v>72</v>
      </c>
      <c r="F13" s="33" t="s">
        <v>73</v>
      </c>
    </row>
    <row r="14" customFormat="false" ht="15" hidden="false" customHeight="true" outlineLevel="0" collapsed="false">
      <c r="A14" s="21" t="s">
        <v>76</v>
      </c>
      <c r="B14" s="12" t="n">
        <v>1417941</v>
      </c>
      <c r="C14" s="25" t="n">
        <v>1.93</v>
      </c>
      <c r="D14" s="31" t="n">
        <v>-3.34</v>
      </c>
      <c r="E14" s="33" t="s">
        <v>72</v>
      </c>
      <c r="F14" s="33" t="s">
        <v>73</v>
      </c>
    </row>
    <row r="15" customFormat="false" ht="15" hidden="false" customHeight="true" outlineLevel="0" collapsed="false">
      <c r="A15" s="23" t="s">
        <v>77</v>
      </c>
      <c r="B15" s="15" t="n">
        <v>3502935</v>
      </c>
      <c r="C15" s="28" t="n">
        <v>1.45</v>
      </c>
      <c r="D15" s="32" t="n">
        <v>-3.82</v>
      </c>
      <c r="E15" s="33" t="s">
        <v>72</v>
      </c>
      <c r="F15" s="33" t="s">
        <v>73</v>
      </c>
    </row>
    <row r="16" customFormat="false" ht="15" hidden="false" customHeight="true" outlineLevel="0" collapsed="false">
      <c r="A16" s="21" t="s">
        <v>78</v>
      </c>
      <c r="B16" s="12" t="n">
        <v>1452134</v>
      </c>
      <c r="C16" s="25" t="n">
        <v>1.3</v>
      </c>
      <c r="D16" s="31" t="n">
        <v>-3.97</v>
      </c>
      <c r="E16" s="33" t="s">
        <v>72</v>
      </c>
      <c r="F16" s="33" t="s">
        <v>73</v>
      </c>
    </row>
    <row r="17" customFormat="false" ht="15" hidden="false" customHeight="true" outlineLevel="0" collapsed="false">
      <c r="A17" s="23" t="s">
        <v>79</v>
      </c>
      <c r="B17" s="15" t="n">
        <v>2554867</v>
      </c>
      <c r="C17" s="28" t="n">
        <v>0.87</v>
      </c>
      <c r="D17" s="32" t="n">
        <v>-4.4</v>
      </c>
      <c r="E17" s="33" t="s">
        <v>72</v>
      </c>
      <c r="F17" s="33" t="s">
        <v>73</v>
      </c>
    </row>
    <row r="18" customFormat="false" ht="15" hidden="false" customHeight="true" outlineLevel="0" collapsed="false">
      <c r="A18" s="21" t="s">
        <v>80</v>
      </c>
      <c r="B18" s="12" t="n">
        <v>1003272</v>
      </c>
      <c r="C18" s="25" t="n">
        <v>0.52</v>
      </c>
      <c r="D18" s="31" t="n">
        <v>-4.75</v>
      </c>
      <c r="E18" s="33" t="s">
        <v>72</v>
      </c>
      <c r="F18" s="33" t="s">
        <v>73</v>
      </c>
    </row>
    <row r="19" customFormat="false" ht="15" hidden="false" customHeight="true" outlineLevel="0" collapsed="false">
      <c r="A19" s="23" t="s">
        <v>81</v>
      </c>
      <c r="B19" s="15" t="n">
        <v>910257</v>
      </c>
      <c r="C19" s="28" t="n">
        <v>0.41</v>
      </c>
      <c r="D19" s="32" t="n">
        <v>-4.86</v>
      </c>
      <c r="E19" s="33" t="s">
        <v>72</v>
      </c>
      <c r="F19" s="33" t="s">
        <v>73</v>
      </c>
    </row>
    <row r="20" customFormat="false" ht="15" hidden="false" customHeight="true" outlineLevel="0" collapsed="false">
      <c r="A20" s="21" t="s">
        <v>82</v>
      </c>
      <c r="B20" s="12" t="n">
        <v>416273</v>
      </c>
      <c r="C20" s="25" t="n">
        <v>0.39</v>
      </c>
      <c r="D20" s="31" t="n">
        <v>-4.88</v>
      </c>
      <c r="E20" s="33" t="s">
        <v>72</v>
      </c>
      <c r="F20" s="33" t="s">
        <v>73</v>
      </c>
    </row>
    <row r="21" customFormat="false" ht="15" hidden="false" customHeight="true" outlineLevel="0" collapsed="false">
      <c r="A21" s="23" t="s">
        <v>83</v>
      </c>
      <c r="B21" s="15" t="n">
        <v>424</v>
      </c>
      <c r="C21" s="28" t="n">
        <v>0.04</v>
      </c>
      <c r="D21" s="32" t="n">
        <v>-5.23</v>
      </c>
      <c r="E21" s="33" t="s">
        <v>72</v>
      </c>
      <c r="F21" s="33" t="s">
        <v>73</v>
      </c>
    </row>
  </sheetData>
  <mergeCells count="1">
    <mergeCell ref="A1:F1"/>
  </mergeCells>
  <conditionalFormatting sqref="C4:C21">
    <cfRule type="colorScale" priority="2">
      <colorScale>
        <cfvo type="min" val="0"/>
        <cfvo type="percentile" val="50"/>
        <cfvo type="max" val="0"/>
        <color rgb="FFFFD7D7"/>
        <color rgb="FFFFFACD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4" min="2" style="1" width="14"/>
    <col collapsed="false" customWidth="true" hidden="false" outlineLevel="0" max="5" min="5" style="1" width="16"/>
    <col collapsed="false" customWidth="true" hidden="false" outlineLevel="0" max="7" min="6" style="1" width="12"/>
  </cols>
  <sheetData>
    <row r="1" customFormat="false" ht="25.5" hidden="false" customHeight="true" outlineLevel="0" collapsed="false">
      <c r="A1" s="20" t="s">
        <v>84</v>
      </c>
      <c r="B1" s="20"/>
      <c r="C1" s="20"/>
      <c r="D1" s="20"/>
      <c r="E1" s="20"/>
      <c r="F1" s="20"/>
      <c r="G1" s="20"/>
    </row>
    <row r="3" customFormat="false" ht="19.5" hidden="false" customHeight="true" outlineLevel="0" collapsed="false">
      <c r="A3" s="10" t="s">
        <v>39</v>
      </c>
      <c r="B3" s="10" t="s">
        <v>85</v>
      </c>
      <c r="C3" s="10" t="s">
        <v>86</v>
      </c>
      <c r="D3" s="10" t="s">
        <v>87</v>
      </c>
      <c r="E3" s="10" t="s">
        <v>88</v>
      </c>
      <c r="F3" s="10" t="s">
        <v>89</v>
      </c>
      <c r="G3" s="10" t="s">
        <v>90</v>
      </c>
    </row>
    <row r="4" customFormat="false" ht="13.5" hidden="false" customHeight="true" outlineLevel="0" collapsed="false">
      <c r="A4" s="21" t="s">
        <v>91</v>
      </c>
      <c r="B4" s="12" t="n">
        <v>249967</v>
      </c>
      <c r="C4" s="12" t="n">
        <v>311075</v>
      </c>
      <c r="D4" s="12" t="n">
        <v>468236</v>
      </c>
      <c r="E4" s="12" t="n">
        <v>1029278</v>
      </c>
      <c r="F4" s="34" t="n">
        <v>0.8732</v>
      </c>
      <c r="G4" s="11" t="s">
        <v>92</v>
      </c>
    </row>
    <row r="5" customFormat="false" ht="13.5" hidden="false" customHeight="true" outlineLevel="0" collapsed="false">
      <c r="A5" s="23" t="s">
        <v>93</v>
      </c>
      <c r="B5" s="15" t="n">
        <v>210516</v>
      </c>
      <c r="C5" s="15" t="n">
        <v>238918</v>
      </c>
      <c r="D5" s="15" t="n">
        <v>298825</v>
      </c>
      <c r="E5" s="15" t="n">
        <v>748259</v>
      </c>
      <c r="F5" s="16" t="n">
        <v>0.4195</v>
      </c>
      <c r="G5" s="14" t="s">
        <v>92</v>
      </c>
    </row>
    <row r="6" customFormat="false" ht="13.5" hidden="false" customHeight="true" outlineLevel="0" collapsed="false">
      <c r="A6" s="21" t="s">
        <v>94</v>
      </c>
      <c r="B6" s="12" t="n">
        <v>168712</v>
      </c>
      <c r="C6" s="12" t="n">
        <v>243615</v>
      </c>
      <c r="D6" s="12" t="n">
        <v>236622</v>
      </c>
      <c r="E6" s="12" t="n">
        <v>648949</v>
      </c>
      <c r="F6" s="34" t="n">
        <v>0.4025</v>
      </c>
      <c r="G6" s="11" t="s">
        <v>92</v>
      </c>
    </row>
    <row r="7" customFormat="false" ht="13.5" hidden="false" customHeight="true" outlineLevel="0" collapsed="false">
      <c r="A7" s="23" t="s">
        <v>52</v>
      </c>
      <c r="B7" s="15" t="n">
        <v>516871</v>
      </c>
      <c r="C7" s="15" t="n">
        <v>534236</v>
      </c>
      <c r="D7" s="15" t="n">
        <v>645135</v>
      </c>
      <c r="E7" s="15" t="n">
        <v>1696242</v>
      </c>
      <c r="F7" s="16" t="n">
        <v>0.2482</v>
      </c>
      <c r="G7" s="14" t="s">
        <v>95</v>
      </c>
    </row>
    <row r="8" customFormat="false" ht="13.5" hidden="false" customHeight="true" outlineLevel="0" collapsed="false">
      <c r="A8" s="21" t="s">
        <v>96</v>
      </c>
      <c r="B8" s="12" t="n">
        <v>284796</v>
      </c>
      <c r="C8" s="12" t="n">
        <v>332278</v>
      </c>
      <c r="D8" s="12" t="n">
        <v>347746</v>
      </c>
      <c r="E8" s="12" t="n">
        <v>964820</v>
      </c>
      <c r="F8" s="34" t="n">
        <v>0.221</v>
      </c>
      <c r="G8" s="11" t="s">
        <v>95</v>
      </c>
    </row>
    <row r="9" customFormat="false" ht="13.5" hidden="false" customHeight="true" outlineLevel="0" collapsed="false">
      <c r="A9" s="23" t="s">
        <v>97</v>
      </c>
      <c r="B9" s="15" t="n">
        <v>293389</v>
      </c>
      <c r="C9" s="15" t="n">
        <v>262014</v>
      </c>
      <c r="D9" s="15" t="n">
        <v>324946</v>
      </c>
      <c r="E9" s="15" t="n">
        <v>880349</v>
      </c>
      <c r="F9" s="35" t="n">
        <v>0.1076</v>
      </c>
      <c r="G9" s="14" t="s">
        <v>98</v>
      </c>
    </row>
    <row r="10" customFormat="false" ht="13.5" hidden="false" customHeight="true" outlineLevel="0" collapsed="false">
      <c r="A10" s="21" t="s">
        <v>99</v>
      </c>
      <c r="B10" s="12" t="n">
        <v>187207</v>
      </c>
      <c r="C10" s="12" t="n">
        <v>204321</v>
      </c>
      <c r="D10" s="12" t="n">
        <v>205182</v>
      </c>
      <c r="E10" s="12" t="n">
        <v>596710</v>
      </c>
      <c r="F10" s="36" t="n">
        <v>0.096</v>
      </c>
      <c r="G10" s="11" t="s">
        <v>98</v>
      </c>
    </row>
    <row r="11" customFormat="false" ht="13.5" hidden="false" customHeight="true" outlineLevel="0" collapsed="false">
      <c r="A11" s="23" t="s">
        <v>100</v>
      </c>
      <c r="B11" s="15" t="n">
        <v>422673</v>
      </c>
      <c r="C11" s="15" t="n">
        <v>425847</v>
      </c>
      <c r="D11" s="15" t="n">
        <v>461794</v>
      </c>
      <c r="E11" s="15" t="n">
        <v>1310314</v>
      </c>
      <c r="F11" s="35" t="n">
        <v>0.0926</v>
      </c>
      <c r="G11" s="14" t="s">
        <v>98</v>
      </c>
    </row>
    <row r="12" customFormat="false" ht="13.5" hidden="false" customHeight="true" outlineLevel="0" collapsed="false">
      <c r="A12" s="21" t="s">
        <v>101</v>
      </c>
      <c r="B12" s="12" t="n">
        <v>191658</v>
      </c>
      <c r="C12" s="12" t="n">
        <v>174980</v>
      </c>
      <c r="D12" s="12" t="n">
        <v>202838</v>
      </c>
      <c r="E12" s="12" t="n">
        <v>569476</v>
      </c>
      <c r="F12" s="36" t="n">
        <v>0.0583</v>
      </c>
      <c r="G12" s="11" t="s">
        <v>98</v>
      </c>
    </row>
    <row r="13" customFormat="false" ht="13.5" hidden="false" customHeight="true" outlineLevel="0" collapsed="false">
      <c r="A13" s="23" t="s">
        <v>102</v>
      </c>
      <c r="B13" s="15" t="n">
        <v>310464</v>
      </c>
      <c r="C13" s="15" t="n">
        <v>303430</v>
      </c>
      <c r="D13" s="15" t="n">
        <v>322237</v>
      </c>
      <c r="E13" s="15" t="n">
        <v>936131</v>
      </c>
      <c r="F13" s="35" t="n">
        <v>0.0379</v>
      </c>
      <c r="G13" s="14" t="s">
        <v>98</v>
      </c>
    </row>
    <row r="14" customFormat="false" ht="13.5" hidden="false" customHeight="true" outlineLevel="0" collapsed="false">
      <c r="A14" s="21" t="s">
        <v>103</v>
      </c>
      <c r="B14" s="12" t="n">
        <v>414724</v>
      </c>
      <c r="C14" s="12" t="n">
        <v>390802</v>
      </c>
      <c r="D14" s="12" t="n">
        <v>423753</v>
      </c>
      <c r="E14" s="12" t="n">
        <v>1229279</v>
      </c>
      <c r="F14" s="36" t="n">
        <v>0.0218</v>
      </c>
      <c r="G14" s="11" t="s">
        <v>98</v>
      </c>
    </row>
    <row r="15" customFormat="false" ht="13.5" hidden="false" customHeight="true" outlineLevel="0" collapsed="false">
      <c r="A15" s="23" t="s">
        <v>104</v>
      </c>
      <c r="B15" s="15" t="n">
        <v>356135</v>
      </c>
      <c r="C15" s="15" t="n">
        <v>350907</v>
      </c>
      <c r="D15" s="15" t="n">
        <v>363040</v>
      </c>
      <c r="E15" s="15" t="n">
        <v>1070082</v>
      </c>
      <c r="F15" s="35" t="n">
        <v>0.0194</v>
      </c>
      <c r="G15" s="14" t="s">
        <v>98</v>
      </c>
    </row>
    <row r="16" customFormat="false" ht="13.5" hidden="false" customHeight="true" outlineLevel="0" collapsed="false">
      <c r="A16" s="21" t="s">
        <v>47</v>
      </c>
      <c r="B16" s="12" t="n">
        <v>676615</v>
      </c>
      <c r="C16" s="12" t="n">
        <v>634310</v>
      </c>
      <c r="D16" s="12" t="n">
        <v>685441</v>
      </c>
      <c r="E16" s="12" t="n">
        <v>1996366</v>
      </c>
      <c r="F16" s="36" t="n">
        <v>0.013</v>
      </c>
      <c r="G16" s="11" t="s">
        <v>98</v>
      </c>
    </row>
    <row r="17" customFormat="false" ht="13.5" hidden="false" customHeight="true" outlineLevel="0" collapsed="false">
      <c r="A17" s="23" t="s">
        <v>49</v>
      </c>
      <c r="B17" s="15" t="n">
        <v>575886</v>
      </c>
      <c r="C17" s="15" t="n">
        <v>501632</v>
      </c>
      <c r="D17" s="15" t="n">
        <v>577018</v>
      </c>
      <c r="E17" s="15" t="n">
        <v>1654536</v>
      </c>
      <c r="F17" s="35" t="n">
        <v>0.002</v>
      </c>
      <c r="G17" s="14" t="s">
        <v>98</v>
      </c>
    </row>
    <row r="18" customFormat="false" ht="13.5" hidden="false" customHeight="true" outlineLevel="0" collapsed="false">
      <c r="A18" s="21" t="s">
        <v>105</v>
      </c>
      <c r="B18" s="12" t="n">
        <v>347976</v>
      </c>
      <c r="C18" s="12" t="n">
        <v>322798</v>
      </c>
      <c r="D18" s="12" t="n">
        <v>345817</v>
      </c>
      <c r="E18" s="12" t="n">
        <v>1016591</v>
      </c>
      <c r="F18" s="17" t="n">
        <v>-0.0062</v>
      </c>
      <c r="G18" s="11" t="s">
        <v>106</v>
      </c>
    </row>
  </sheetData>
  <mergeCells count="1">
    <mergeCell ref="A1:G1"/>
  </mergeCells>
  <conditionalFormatting sqref="B4:D18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6"/>
    <col collapsed="false" customWidth="true" hidden="false" outlineLevel="0" max="3" min="3" style="1" width="18"/>
    <col collapsed="false" customWidth="true" hidden="false" outlineLevel="0" max="4" min="4" style="1" width="14"/>
  </cols>
  <sheetData>
    <row r="1" customFormat="false" ht="25.5" hidden="false" customHeight="true" outlineLevel="0" collapsed="false">
      <c r="A1" s="20" t="s">
        <v>107</v>
      </c>
      <c r="B1" s="20"/>
      <c r="C1" s="20"/>
      <c r="D1" s="20"/>
    </row>
    <row r="3" customFormat="false" ht="19.5" hidden="false" customHeight="true" outlineLevel="0" collapsed="false">
      <c r="A3" s="37" t="s">
        <v>108</v>
      </c>
      <c r="B3" s="37"/>
      <c r="C3" s="37"/>
      <c r="D3" s="37"/>
    </row>
    <row r="4" customFormat="false" ht="15.75" hidden="false" customHeight="true" outlineLevel="0" collapsed="false">
      <c r="A4" s="10" t="s">
        <v>38</v>
      </c>
      <c r="B4" s="10" t="s">
        <v>39</v>
      </c>
      <c r="C4" s="10" t="s">
        <v>19</v>
      </c>
      <c r="D4" s="10" t="s">
        <v>109</v>
      </c>
    </row>
    <row r="5" customFormat="false" ht="13.5" hidden="false" customHeight="true" outlineLevel="0" collapsed="false">
      <c r="A5" s="14" t="n">
        <v>1</v>
      </c>
      <c r="B5" s="23" t="s">
        <v>41</v>
      </c>
      <c r="C5" s="15" t="n">
        <v>6822688</v>
      </c>
      <c r="D5" s="24" t="n">
        <v>0.418444180011229</v>
      </c>
    </row>
    <row r="6" customFormat="false" ht="13.5" hidden="false" customHeight="true" outlineLevel="0" collapsed="false">
      <c r="A6" s="11" t="n">
        <v>2</v>
      </c>
      <c r="B6" s="21" t="s">
        <v>42</v>
      </c>
      <c r="C6" s="12" t="n">
        <v>3549466</v>
      </c>
      <c r="D6" s="22" t="n">
        <v>0.217693288898413</v>
      </c>
    </row>
    <row r="7" customFormat="false" ht="13.5" hidden="false" customHeight="true" outlineLevel="0" collapsed="false">
      <c r="A7" s="14" t="n">
        <v>3</v>
      </c>
      <c r="B7" s="23" t="s">
        <v>44</v>
      </c>
      <c r="C7" s="15" t="n">
        <v>2441504</v>
      </c>
      <c r="D7" s="24" t="n">
        <v>0.149740562557475</v>
      </c>
    </row>
    <row r="8" customFormat="false" ht="13.5" hidden="false" customHeight="true" outlineLevel="0" collapsed="false">
      <c r="A8" s="11" t="n">
        <v>4</v>
      </c>
      <c r="B8" s="21" t="s">
        <v>43</v>
      </c>
      <c r="C8" s="12" t="n">
        <v>2281108</v>
      </c>
      <c r="D8" s="22" t="n">
        <v>0.139903270760301</v>
      </c>
    </row>
    <row r="9" customFormat="false" ht="13.5" hidden="false" customHeight="true" outlineLevel="0" collapsed="false">
      <c r="A9" s="14" t="n">
        <v>5</v>
      </c>
      <c r="B9" s="23" t="s">
        <v>46</v>
      </c>
      <c r="C9" s="15" t="n">
        <v>1210128</v>
      </c>
      <c r="D9" s="24" t="n">
        <v>0.0742186977725829</v>
      </c>
    </row>
    <row r="11" customFormat="false" ht="19.5" hidden="false" customHeight="true" outlineLevel="0" collapsed="false">
      <c r="A11" s="38" t="s">
        <v>110</v>
      </c>
      <c r="B11" s="38"/>
      <c r="C11" s="38"/>
      <c r="D11" s="38"/>
    </row>
    <row r="12" customFormat="false" ht="15.75" hidden="false" customHeight="true" outlineLevel="0" collapsed="false">
      <c r="A12" s="10" t="s">
        <v>38</v>
      </c>
      <c r="B12" s="10" t="s">
        <v>39</v>
      </c>
      <c r="C12" s="10" t="s">
        <v>19</v>
      </c>
      <c r="D12" s="10" t="s">
        <v>109</v>
      </c>
    </row>
    <row r="13" customFormat="false" ht="13.5" hidden="false" customHeight="true" outlineLevel="0" collapsed="false">
      <c r="A13" s="14" t="n">
        <v>1</v>
      </c>
      <c r="B13" s="23" t="s">
        <v>42</v>
      </c>
      <c r="C13" s="15" t="n">
        <v>729915</v>
      </c>
      <c r="D13" s="24" t="n">
        <v>0.373677258834913</v>
      </c>
    </row>
    <row r="14" customFormat="false" ht="13.5" hidden="false" customHeight="true" outlineLevel="0" collapsed="false">
      <c r="A14" s="11" t="n">
        <v>2</v>
      </c>
      <c r="B14" s="21" t="s">
        <v>41</v>
      </c>
      <c r="C14" s="12" t="n">
        <v>423371</v>
      </c>
      <c r="D14" s="22" t="n">
        <v>0.216743202633452</v>
      </c>
    </row>
    <row r="15" customFormat="false" ht="13.5" hidden="false" customHeight="true" outlineLevel="0" collapsed="false">
      <c r="A15" s="14" t="n">
        <v>3</v>
      </c>
      <c r="B15" s="23" t="s">
        <v>43</v>
      </c>
      <c r="C15" s="15" t="n">
        <v>403747</v>
      </c>
      <c r="D15" s="24" t="n">
        <v>0.206696769107115</v>
      </c>
    </row>
    <row r="16" customFormat="false" ht="13.5" hidden="false" customHeight="true" outlineLevel="0" collapsed="false">
      <c r="A16" s="11" t="n">
        <v>4</v>
      </c>
      <c r="B16" s="21" t="s">
        <v>44</v>
      </c>
      <c r="C16" s="12" t="n">
        <v>222627</v>
      </c>
      <c r="D16" s="22" t="n">
        <v>0.113973061387477</v>
      </c>
    </row>
    <row r="17" customFormat="false" ht="13.5" hidden="false" customHeight="true" outlineLevel="0" collapsed="false">
      <c r="A17" s="14" t="n">
        <v>5</v>
      </c>
      <c r="B17" s="23" t="s">
        <v>45</v>
      </c>
      <c r="C17" s="15" t="n">
        <v>173670</v>
      </c>
      <c r="D17" s="24" t="n">
        <v>0.0889097080370444</v>
      </c>
    </row>
    <row r="19" customFormat="false" ht="19.5" hidden="false" customHeight="true" outlineLevel="0" collapsed="false">
      <c r="A19" s="39" t="s">
        <v>111</v>
      </c>
      <c r="B19" s="39"/>
      <c r="C19" s="39"/>
      <c r="D19" s="39"/>
    </row>
    <row r="20" customFormat="false" ht="15.75" hidden="false" customHeight="true" outlineLevel="0" collapsed="false">
      <c r="A20" s="10" t="s">
        <v>38</v>
      </c>
      <c r="B20" s="10" t="s">
        <v>39</v>
      </c>
      <c r="C20" s="10" t="s">
        <v>19</v>
      </c>
      <c r="D20" s="10" t="s">
        <v>109</v>
      </c>
    </row>
    <row r="21" customFormat="false" ht="13.5" hidden="false" customHeight="true" outlineLevel="0" collapsed="false">
      <c r="A21" s="14" t="n">
        <v>1</v>
      </c>
      <c r="B21" s="23" t="s">
        <v>41</v>
      </c>
      <c r="C21" s="15" t="n">
        <v>4763170</v>
      </c>
      <c r="D21" s="24" t="n">
        <v>0.317909032806134</v>
      </c>
    </row>
    <row r="22" customFormat="false" ht="13.5" hidden="false" customHeight="true" outlineLevel="0" collapsed="false">
      <c r="A22" s="11" t="n">
        <v>2</v>
      </c>
      <c r="B22" s="21" t="s">
        <v>42</v>
      </c>
      <c r="C22" s="12" t="n">
        <v>3932890</v>
      </c>
      <c r="D22" s="22" t="n">
        <v>0.26249351923885</v>
      </c>
    </row>
    <row r="23" customFormat="false" ht="13.5" hidden="false" customHeight="true" outlineLevel="0" collapsed="false">
      <c r="A23" s="14" t="n">
        <v>3</v>
      </c>
      <c r="B23" s="23" t="s">
        <v>43</v>
      </c>
      <c r="C23" s="15" t="n">
        <v>2693258</v>
      </c>
      <c r="D23" s="24" t="n">
        <v>0.179756558316705</v>
      </c>
    </row>
    <row r="24" customFormat="false" ht="13.5" hidden="false" customHeight="true" outlineLevel="0" collapsed="false">
      <c r="A24" s="11" t="n">
        <v>4</v>
      </c>
      <c r="B24" s="21" t="s">
        <v>44</v>
      </c>
      <c r="C24" s="12" t="n">
        <v>2387472</v>
      </c>
      <c r="D24" s="22" t="n">
        <v>0.159347433405007</v>
      </c>
    </row>
    <row r="25" customFormat="false" ht="13.5" hidden="false" customHeight="true" outlineLevel="0" collapsed="false">
      <c r="A25" s="14" t="n">
        <v>5</v>
      </c>
      <c r="B25" s="23" t="s">
        <v>45</v>
      </c>
      <c r="C25" s="15" t="n">
        <v>1206018</v>
      </c>
      <c r="D25" s="24" t="n">
        <v>0.0804934562333042</v>
      </c>
    </row>
  </sheetData>
  <mergeCells count="4">
    <mergeCell ref="A1:D1"/>
    <mergeCell ref="A3:D3"/>
    <mergeCell ref="A11:D11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2026-06-15T22:46:56Z</dcterms:created>
  <dc:creator>openpyxl</dc:creator>
  <dc:description/>
  <dc:language>en-US</dc:language>
  <cp:lastModifiedBy/>
  <dcterms:modified xsi:type="dcterms:W3CDTF">2026-06-15T22:53:00Z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